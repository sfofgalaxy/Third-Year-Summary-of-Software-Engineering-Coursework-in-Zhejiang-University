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38"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帆\Desktop\!大三下\债券\zju.bts.project\"/>
    </mc:Choice>
  </mc:AlternateContent>
  <xr:revisionPtr revIDLastSave="0" documentId="13_ncr:1_{FB019AAE-0262-4CDC-AC4A-AE8F1A78BE7D}" xr6:coauthVersionLast="36" xr6:coauthVersionMax="36" xr10:uidLastSave="{00000000-0000-0000-0000-000000000000}"/>
  <bookViews>
    <workbookView xWindow="0" yWindow="0" windowWidth="20490" windowHeight="7455" tabRatio="453" firstSheet="1" activeTab="3" xr2:uid="{00000000-000D-0000-FFFF-FFFF00000000}"/>
  </bookViews>
  <sheets>
    <sheet name="Requirment" sheetId="4" r:id="rId1"/>
    <sheet name="Yield.Curve" sheetId="1" r:id="rId2"/>
    <sheet name="Bond.Position" sheetId="2" r:id="rId3"/>
    <sheet name="Position.BPV.Curve" sheetId="3" r:id="rId4"/>
  </sheets>
  <functionGroups builtInGroupCount="19"/>
  <definedNames>
    <definedName name="_xlnm._FilterDatabase" localSheetId="2" hidden="1">Bond.Position!$A$1:$J$25</definedName>
  </definedNames>
  <calcPr calcId="179021" concurrentCalc="0"/>
</workbook>
</file>

<file path=xl/calcChain.xml><?xml version="1.0" encoding="utf-8"?>
<calcChain xmlns="http://schemas.openxmlformats.org/spreadsheetml/2006/main">
  <c r="J25" i="2" l="1"/>
  <c r="I25" i="2"/>
  <c r="H25" i="2"/>
  <c r="G25" i="2"/>
  <c r="F25" i="2"/>
  <c r="J24" i="2"/>
  <c r="I24" i="2"/>
  <c r="H24" i="2"/>
  <c r="G24" i="2"/>
  <c r="F24" i="2"/>
  <c r="J23" i="2"/>
  <c r="I23" i="2"/>
  <c r="H23" i="2"/>
  <c r="G23" i="2"/>
  <c r="F23" i="2"/>
  <c r="J22" i="2"/>
  <c r="I22" i="2"/>
  <c r="H22" i="2"/>
  <c r="G22" i="2"/>
  <c r="F22" i="2"/>
  <c r="J21" i="2"/>
  <c r="I21" i="2"/>
  <c r="H21" i="2"/>
  <c r="G21" i="2"/>
  <c r="F21" i="2"/>
  <c r="J20" i="2"/>
  <c r="I20" i="2"/>
  <c r="H20" i="2"/>
  <c r="G20" i="2"/>
  <c r="F20" i="2"/>
  <c r="J19" i="2"/>
  <c r="I19" i="2"/>
  <c r="H19" i="2"/>
  <c r="G19" i="2"/>
  <c r="F19" i="2"/>
  <c r="J18" i="2"/>
  <c r="I18" i="2"/>
  <c r="H18" i="2"/>
  <c r="G18" i="2"/>
  <c r="F18" i="2"/>
  <c r="J17" i="2"/>
  <c r="I17" i="2"/>
  <c r="H17" i="2"/>
  <c r="G17" i="2"/>
  <c r="F17" i="2"/>
  <c r="J16" i="2"/>
  <c r="I16" i="2"/>
  <c r="H16" i="2"/>
  <c r="G16" i="2"/>
  <c r="F16" i="2"/>
  <c r="J15" i="2"/>
  <c r="I15" i="2"/>
  <c r="H15" i="2"/>
  <c r="G15" i="2"/>
  <c r="F15" i="2"/>
  <c r="J14" i="2"/>
  <c r="I14" i="2"/>
  <c r="H14" i="2"/>
  <c r="G14" i="2"/>
  <c r="F14" i="2"/>
  <c r="J13" i="2"/>
  <c r="I13" i="2"/>
  <c r="H13" i="2"/>
  <c r="G13" i="2"/>
  <c r="F13" i="2"/>
  <c r="J12" i="2"/>
  <c r="I12" i="2"/>
  <c r="H12" i="2"/>
  <c r="G12" i="2"/>
  <c r="F12" i="2"/>
  <c r="J11" i="2"/>
  <c r="I11" i="2"/>
  <c r="H11" i="2"/>
  <c r="G11" i="2"/>
  <c r="F11" i="2"/>
  <c r="J10" i="2"/>
  <c r="I10" i="2"/>
  <c r="H10" i="2"/>
  <c r="G10" i="2"/>
  <c r="F10" i="2"/>
  <c r="J9" i="2"/>
  <c r="I9" i="2"/>
  <c r="H9" i="2"/>
  <c r="G9" i="2"/>
  <c r="F9" i="2"/>
  <c r="J8" i="2"/>
  <c r="I8" i="2"/>
  <c r="H8" i="2"/>
  <c r="G8" i="2"/>
  <c r="F8" i="2"/>
  <c r="J7" i="2"/>
  <c r="I7" i="2"/>
  <c r="H7" i="2"/>
  <c r="G7" i="2"/>
  <c r="F7" i="2"/>
  <c r="J6" i="2"/>
  <c r="I6" i="2"/>
  <c r="H6" i="2"/>
  <c r="G6" i="2"/>
  <c r="F6" i="2"/>
  <c r="J5" i="2"/>
  <c r="I5" i="2"/>
  <c r="H5" i="2"/>
  <c r="G5" i="2"/>
  <c r="F5" i="2"/>
  <c r="J4" i="2"/>
  <c r="I4" i="2"/>
  <c r="H4" i="2"/>
  <c r="G4" i="2"/>
  <c r="F4" i="2"/>
  <c r="J3" i="2"/>
  <c r="I3" i="2"/>
  <c r="H3" i="2"/>
  <c r="G3" i="2"/>
  <c r="F3" i="2"/>
  <c r="J2" i="2"/>
  <c r="I2" i="2"/>
  <c r="H2" i="2"/>
  <c r="G2" i="2"/>
  <c r="F2" i="2"/>
</calcChain>
</file>

<file path=xl/sharedStrings.xml><?xml version="1.0" encoding="utf-8"?>
<sst xmlns="http://schemas.openxmlformats.org/spreadsheetml/2006/main" count="48" uniqueCount="27">
  <si>
    <t>Date</t>
  </si>
  <si>
    <t>1 mo</t>
  </si>
  <si>
    <t>3 mo</t>
  </si>
  <si>
    <t>6 mo</t>
  </si>
  <si>
    <t>1 yr</t>
  </si>
  <si>
    <t>2 yr</t>
  </si>
  <si>
    <t>3 yr</t>
  </si>
  <si>
    <t>5 yr</t>
  </si>
  <si>
    <t>7 yr</t>
  </si>
  <si>
    <t>10 yr</t>
  </si>
  <si>
    <t>20 yr</t>
  </si>
  <si>
    <t>30 yr</t>
  </si>
  <si>
    <t>*Treasury Yield Curve Rates</t>
  </si>
  <si>
    <t>Name</t>
  </si>
  <si>
    <t>Coupon</t>
  </si>
  <si>
    <t>Maturity</t>
  </si>
  <si>
    <t>Position</t>
  </si>
  <si>
    <t>Position BPV</t>
  </si>
  <si>
    <t>Dirty Price</t>
  </si>
  <si>
    <t>Clean Price</t>
  </si>
  <si>
    <t>Accrued</t>
  </si>
  <si>
    <t>Modified Duration</t>
  </si>
  <si>
    <r>
      <t xml:space="preserve">Richard, who is in charge of the bank's risk management for bond trading, wants to have a tool from IT by </t>
    </r>
    <r>
      <rPr>
        <u/>
        <sz val="12"/>
        <rFont val="Arial"/>
        <family val="2"/>
      </rPr>
      <t>28th March 2012.</t>
    </r>
    <r>
      <rPr>
        <sz val="12"/>
        <rFont val="Arial"/>
        <family val="2"/>
      </rPr>
      <t xml:space="preserve">
He hopes this tool can calculate the risk metrics such as Position BPV and plot its curve for the book.
As an experienced risk manager, he suggested you talk to the Market Data team &amp; the Trading team for the source data.
After having several rounds of discussion, both teams agreed to send a data file each on a daily basis to support this calculation.
As a RAD developer who just finshed the Bond Trading System Training, you are quite excited about this challenge.
Now it is your show time!
</t>
    </r>
    <phoneticPr fontId="1" type="noConversion"/>
  </si>
  <si>
    <t>US treasury A</t>
  </si>
  <si>
    <t>US treasury B</t>
  </si>
  <si>
    <t>US treasury C</t>
  </si>
  <si>
    <t>US treasury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</si>
</sst>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0"/>
      <name val="Arial"/>
      <family val="2"/>
    </font>
    <font>
      <sz val="8"/>
      <name val="Arial"/>
      <family val="2"/>
    </font>
    <font>
      <b/>
      <sz val="10"/>
      <name val="Arial"/>
      <family val="2"/>
    </font>
    <font>
      <sz val="12"/>
      <name val="Arial"/>
      <family val="2"/>
    </font>
    <font>
      <u/>
      <sz val="12"/>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5" fontId="0" fillId="0" borderId="0" xfId="0" applyNumberFormat="1"/>
    <xf numFmtId="0" fontId="2" fillId="0" borderId="0" xfId="0" applyFont="1"/>
    <xf numFmtId="3" fontId="0" fillId="0" borderId="0" xfId="0" applyNumberFormat="1"/>
    <xf numFmtId="0" fontId="0" fillId="0" borderId="0" xfId="0" applyAlignment="1">
      <alignment wrapText="1"/>
    </xf>
    <xf numFmtId="0" fontId="3" fillId="0" borderId="0" xfId="0" applyFont="1" applyAlignment="1">
      <alignment horizont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US treasury 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(Bond.Position!$A$2,Bond.Position!$A$6,Bond.Position!$A$10,Bond.Position!$A$14,Bond.Position!$A$18,Bond.Position!$A$22)</c:f>
              <c:numCache>
                <c:formatCode>d\-mmm\-yy</c:formatCode>
                <c:ptCount val="6"/>
                <c:pt idx="0">
                  <c:v>40969</c:v>
                </c:pt>
                <c:pt idx="1">
                  <c:v>40970</c:v>
                </c:pt>
                <c:pt idx="2">
                  <c:v>40973</c:v>
                </c:pt>
                <c:pt idx="3">
                  <c:v>40974</c:v>
                </c:pt>
                <c:pt idx="4">
                  <c:v>40975</c:v>
                </c:pt>
                <c:pt idx="5">
                  <c:v>40976</c:v>
                </c:pt>
              </c:numCache>
            </c:numRef>
          </c:cat>
          <c:val>
            <c:numRef>
              <c:f>(Bond.Position!$J$2,Bond.Position!$J$6,Bond.Position!$J$10,Bond.Position!$J$14,Bond.Position!$J$18,Bond.Position!$J$22)</c:f>
              <c:numCache>
                <c:formatCode>General</c:formatCode>
                <c:ptCount val="6"/>
                <c:pt idx="0">
                  <c:v>52268.995425405912</c:v>
                </c:pt>
                <c:pt idx="1">
                  <c:v>62244.768097362743</c:v>
                </c:pt>
                <c:pt idx="2">
                  <c:v>44303.378101262126</c:v>
                </c:pt>
                <c:pt idx="3">
                  <c:v>35400.699714526258</c:v>
                </c:pt>
                <c:pt idx="4">
                  <c:v>17302.30490682221</c:v>
                </c:pt>
                <c:pt idx="5">
                  <c:v>0</c:v>
                </c:pt>
              </c:numCache>
            </c:numRef>
          </c:val>
          <c:smooth val="0"/>
          <c:extLst>
            <c:ext xmlns:c16="http://schemas.microsoft.com/office/drawing/2014/chart" uri="{C3380CC4-5D6E-409C-BE32-E72D297353CC}">
              <c16:uniqueId val="{00000000-7B78-461B-B4F5-E0BD9FEEBF2E}"/>
            </c:ext>
          </c:extLst>
        </c:ser>
        <c:dLbls>
          <c:showLegendKey val="0"/>
          <c:showVal val="0"/>
          <c:showCatName val="0"/>
          <c:showSerName val="0"/>
          <c:showPercent val="0"/>
          <c:showBubbleSize val="0"/>
        </c:dLbls>
        <c:smooth val="0"/>
        <c:axId val="807872016"/>
        <c:axId val="901395488"/>
      </c:lineChart>
      <c:dateAx>
        <c:axId val="807872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01395488"/>
        <c:crosses val="autoZero"/>
        <c:auto val="1"/>
        <c:lblOffset val="100"/>
        <c:baseTimeUnit val="days"/>
      </c:dateAx>
      <c:valAx>
        <c:axId val="901395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787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US treasury 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(Bond.Position!$A$3,Bond.Position!$A$7,Bond.Position!$A$11,Bond.Position!$A$15,Bond.Position!$A$19,Bond.Position!$A$23)</c:f>
              <c:numCache>
                <c:formatCode>d\-mmm\-yy</c:formatCode>
                <c:ptCount val="6"/>
                <c:pt idx="0">
                  <c:v>40969</c:v>
                </c:pt>
                <c:pt idx="1">
                  <c:v>40970</c:v>
                </c:pt>
                <c:pt idx="2">
                  <c:v>40973</c:v>
                </c:pt>
                <c:pt idx="3">
                  <c:v>40974</c:v>
                </c:pt>
                <c:pt idx="4">
                  <c:v>40975</c:v>
                </c:pt>
                <c:pt idx="5">
                  <c:v>40976</c:v>
                </c:pt>
              </c:numCache>
            </c:numRef>
          </c:cat>
          <c:val>
            <c:numRef>
              <c:f>(Bond.Position!$J$3,Bond.Position!$J$7,Bond.Position!$J$11,Bond.Position!$J$15,Bond.Position!$J$19,Bond.Position!$J$23)</c:f>
              <c:numCache>
                <c:formatCode>General</c:formatCode>
                <c:ptCount val="6"/>
                <c:pt idx="0">
                  <c:v>81478.740873010422</c:v>
                </c:pt>
                <c:pt idx="1">
                  <c:v>169210.50976310539</c:v>
                </c:pt>
                <c:pt idx="2">
                  <c:v>168928.16595346192</c:v>
                </c:pt>
                <c:pt idx="3">
                  <c:v>168833.81112458248</c:v>
                </c:pt>
                <c:pt idx="4">
                  <c:v>162430.21656674877</c:v>
                </c:pt>
                <c:pt idx="5">
                  <c:v>162341.91355695802</c:v>
                </c:pt>
              </c:numCache>
            </c:numRef>
          </c:val>
          <c:smooth val="0"/>
          <c:extLst>
            <c:ext xmlns:c16="http://schemas.microsoft.com/office/drawing/2014/chart" uri="{C3380CC4-5D6E-409C-BE32-E72D297353CC}">
              <c16:uniqueId val="{00000000-B732-4177-8E12-3E91E65EBA8F}"/>
            </c:ext>
          </c:extLst>
        </c:ser>
        <c:dLbls>
          <c:showLegendKey val="0"/>
          <c:showVal val="0"/>
          <c:showCatName val="0"/>
          <c:showSerName val="0"/>
          <c:showPercent val="0"/>
          <c:showBubbleSize val="0"/>
        </c:dLbls>
        <c:smooth val="0"/>
        <c:axId val="807883616"/>
        <c:axId val="901408384"/>
      </c:lineChart>
      <c:dateAx>
        <c:axId val="8078836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01408384"/>
        <c:crosses val="autoZero"/>
        <c:auto val="1"/>
        <c:lblOffset val="100"/>
        <c:baseTimeUnit val="days"/>
      </c:dateAx>
      <c:valAx>
        <c:axId val="901408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7883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US treasury 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(Bond.Position!$A$4,Bond.Position!$A$8,Bond.Position!$A$12,Bond.Position!$A$16,Bond.Position!$A$20,Bond.Position!$A$24)</c:f>
              <c:numCache>
                <c:formatCode>d\-mmm\-yy</c:formatCode>
                <c:ptCount val="6"/>
                <c:pt idx="0">
                  <c:v>40969</c:v>
                </c:pt>
                <c:pt idx="1">
                  <c:v>40970</c:v>
                </c:pt>
                <c:pt idx="2">
                  <c:v>40973</c:v>
                </c:pt>
                <c:pt idx="3">
                  <c:v>40974</c:v>
                </c:pt>
                <c:pt idx="4">
                  <c:v>40975</c:v>
                </c:pt>
                <c:pt idx="5">
                  <c:v>40976</c:v>
                </c:pt>
              </c:numCache>
            </c:numRef>
          </c:cat>
          <c:val>
            <c:numRef>
              <c:f>(Bond.Position!$J$4,Bond.Position!$J$8,Bond.Position!$J$12,Bond.Position!$J$16,Bond.Position!$J$20,Bond.Position!$J$24)</c:f>
              <c:numCache>
                <c:formatCode>General</c:formatCode>
                <c:ptCount val="6"/>
                <c:pt idx="0">
                  <c:v>1707753.9861694234</c:v>
                </c:pt>
                <c:pt idx="1">
                  <c:v>1812110.2436874721</c:v>
                </c:pt>
                <c:pt idx="2">
                  <c:v>2173029.7133547491</c:v>
                </c:pt>
                <c:pt idx="3">
                  <c:v>2172527.0514381975</c:v>
                </c:pt>
                <c:pt idx="4">
                  <c:v>2217185.6250778185</c:v>
                </c:pt>
                <c:pt idx="5">
                  <c:v>2728245.9057288067</c:v>
                </c:pt>
              </c:numCache>
            </c:numRef>
          </c:val>
          <c:smooth val="0"/>
          <c:extLst>
            <c:ext xmlns:c16="http://schemas.microsoft.com/office/drawing/2014/chart" uri="{C3380CC4-5D6E-409C-BE32-E72D297353CC}">
              <c16:uniqueId val="{00000000-6951-410B-80EF-E272B519CAD9}"/>
            </c:ext>
          </c:extLst>
        </c:ser>
        <c:dLbls>
          <c:showLegendKey val="0"/>
          <c:showVal val="0"/>
          <c:showCatName val="0"/>
          <c:showSerName val="0"/>
          <c:showPercent val="0"/>
          <c:showBubbleSize val="0"/>
        </c:dLbls>
        <c:smooth val="0"/>
        <c:axId val="807870816"/>
        <c:axId val="901398816"/>
      </c:lineChart>
      <c:dateAx>
        <c:axId val="8078708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01398816"/>
        <c:crosses val="autoZero"/>
        <c:auto val="1"/>
        <c:lblOffset val="100"/>
        <c:baseTimeUnit val="days"/>
      </c:dateAx>
      <c:valAx>
        <c:axId val="901398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7870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US treasury 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(Bond.Position!$A$5,Bond.Position!$A$9,Bond.Position!$A$13,Bond.Position!$A$17,Bond.Position!$A$21,Bond.Position!$A$25)</c:f>
              <c:numCache>
                <c:formatCode>d\-mmm\-yy</c:formatCode>
                <c:ptCount val="6"/>
                <c:pt idx="0">
                  <c:v>40969</c:v>
                </c:pt>
                <c:pt idx="1">
                  <c:v>40970</c:v>
                </c:pt>
                <c:pt idx="2">
                  <c:v>40973</c:v>
                </c:pt>
                <c:pt idx="3">
                  <c:v>40974</c:v>
                </c:pt>
                <c:pt idx="4">
                  <c:v>40975</c:v>
                </c:pt>
                <c:pt idx="5">
                  <c:v>40976</c:v>
                </c:pt>
              </c:numCache>
            </c:numRef>
          </c:cat>
          <c:val>
            <c:numRef>
              <c:f>(Bond.Position!$J$5,Bond.Position!$J$9,Bond.Position!$J$13,Bond.Position!$J$17,Bond.Position!$J$21,Bond.Position!$J$25)</c:f>
              <c:numCache>
                <c:formatCode>General</c:formatCode>
                <c:ptCount val="6"/>
                <c:pt idx="0">
                  <c:v>934943.74291730323</c:v>
                </c:pt>
                <c:pt idx="1">
                  <c:v>2077812.0889470009</c:v>
                </c:pt>
                <c:pt idx="2">
                  <c:v>3116736.8451771992</c:v>
                </c:pt>
                <c:pt idx="3">
                  <c:v>5194569.6872661123</c:v>
                </c:pt>
                <c:pt idx="4">
                  <c:v>5609878.9223327404</c:v>
                </c:pt>
                <c:pt idx="5">
                  <c:v>9349851.0243458468</c:v>
                </c:pt>
              </c:numCache>
            </c:numRef>
          </c:val>
          <c:smooth val="0"/>
          <c:extLst>
            <c:ext xmlns:c16="http://schemas.microsoft.com/office/drawing/2014/chart" uri="{C3380CC4-5D6E-409C-BE32-E72D297353CC}">
              <c16:uniqueId val="{00000000-CD6D-47BD-B41C-A8453953D8E5}"/>
            </c:ext>
          </c:extLst>
        </c:ser>
        <c:dLbls>
          <c:showLegendKey val="0"/>
          <c:showVal val="0"/>
          <c:showCatName val="0"/>
          <c:showSerName val="0"/>
          <c:showPercent val="0"/>
          <c:showBubbleSize val="0"/>
        </c:dLbls>
        <c:smooth val="0"/>
        <c:axId val="807889616"/>
        <c:axId val="901407968"/>
      </c:lineChart>
      <c:dateAx>
        <c:axId val="8078896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01407968"/>
        <c:crosses val="autoZero"/>
        <c:auto val="1"/>
        <c:lblOffset val="100"/>
        <c:baseTimeUnit val="days"/>
      </c:dateAx>
      <c:valAx>
        <c:axId val="901407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07889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28575</xdr:rowOff>
        </xdr:from>
        <xdr:to>
          <xdr:col>13</xdr:col>
          <xdr:colOff>561975</xdr:colOff>
          <xdr:row>3</xdr:row>
          <xdr:rowOff>57150</xdr:rowOff>
        </xdr:to>
        <xdr:sp macro="" textlink="">
          <xdr:nvSpPr>
            <xdr:cNvPr id="1025" name="btnInputYC"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28575</xdr:rowOff>
        </xdr:from>
        <xdr:to>
          <xdr:col>11</xdr:col>
          <xdr:colOff>561975</xdr:colOff>
          <xdr:row>2</xdr:row>
          <xdr:rowOff>57150</xdr:rowOff>
        </xdr:to>
        <xdr:sp macro="" textlink="">
          <xdr:nvSpPr>
            <xdr:cNvPr id="2059" name="btnInputPostion"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5</xdr:row>
          <xdr:rowOff>28575</xdr:rowOff>
        </xdr:from>
        <xdr:to>
          <xdr:col>11</xdr:col>
          <xdr:colOff>581025</xdr:colOff>
          <xdr:row>7</xdr:row>
          <xdr:rowOff>57150</xdr:rowOff>
        </xdr:to>
        <xdr:sp macro="" textlink="">
          <xdr:nvSpPr>
            <xdr:cNvPr id="2060" name="btnCalPosBPV"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254000</xdr:colOff>
      <xdr:row>0</xdr:row>
      <xdr:rowOff>127000</xdr:rowOff>
    </xdr:from>
    <xdr:to>
      <xdr:col>8</xdr:col>
      <xdr:colOff>101600</xdr:colOff>
      <xdr:row>17</xdr:row>
      <xdr:rowOff>117475</xdr:rowOff>
    </xdr:to>
    <xdr:graphicFrame macro="">
      <xdr:nvGraphicFramePr>
        <xdr:cNvPr id="2" name="图表 1">
          <a:extLst>
            <a:ext uri="{FF2B5EF4-FFF2-40B4-BE49-F238E27FC236}">
              <a16:creationId xmlns:a16="http://schemas.microsoft.com/office/drawing/2014/main" id="{341E7B12-F539-44D8-BF7B-0AD06F298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19</xdr:row>
      <xdr:rowOff>98425</xdr:rowOff>
    </xdr:from>
    <xdr:to>
      <xdr:col>8</xdr:col>
      <xdr:colOff>101600</xdr:colOff>
      <xdr:row>36</xdr:row>
      <xdr:rowOff>88900</xdr:rowOff>
    </xdr:to>
    <xdr:graphicFrame macro="">
      <xdr:nvGraphicFramePr>
        <xdr:cNvPr id="3" name="图表 2">
          <a:extLst>
            <a:ext uri="{FF2B5EF4-FFF2-40B4-BE49-F238E27FC236}">
              <a16:creationId xmlns:a16="http://schemas.microsoft.com/office/drawing/2014/main" id="{076D99F8-B8E1-4987-97E6-75F8FF880F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38</xdr:row>
      <xdr:rowOff>69850</xdr:rowOff>
    </xdr:from>
    <xdr:to>
      <xdr:col>8</xdr:col>
      <xdr:colOff>101600</xdr:colOff>
      <xdr:row>55</xdr:row>
      <xdr:rowOff>60325</xdr:rowOff>
    </xdr:to>
    <xdr:graphicFrame macro="">
      <xdr:nvGraphicFramePr>
        <xdr:cNvPr id="4" name="图表 3">
          <a:extLst>
            <a:ext uri="{FF2B5EF4-FFF2-40B4-BE49-F238E27FC236}">
              <a16:creationId xmlns:a16="http://schemas.microsoft.com/office/drawing/2014/main" id="{D8F695D8-87FF-403C-9FA5-C8A97A45E6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254000</xdr:colOff>
      <xdr:row>57</xdr:row>
      <xdr:rowOff>41275</xdr:rowOff>
    </xdr:from>
    <xdr:to>
      <xdr:col>8</xdr:col>
      <xdr:colOff>101600</xdr:colOff>
      <xdr:row>74</xdr:row>
      <xdr:rowOff>31750</xdr:rowOff>
    </xdr:to>
    <xdr:graphicFrame macro="">
      <xdr:nvGraphicFramePr>
        <xdr:cNvPr id="5" name="图表 4">
          <a:extLst>
            <a:ext uri="{FF2B5EF4-FFF2-40B4-BE49-F238E27FC236}">
              <a16:creationId xmlns:a16="http://schemas.microsoft.com/office/drawing/2014/main" id="{B8140FDC-FA0E-407E-8F30-62827AE8B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2"/>
  <sheetViews>
    <sheetView zoomScaleNormal="100" workbookViewId="0">
      <selection activeCell="D2" sqref="D2"/>
    </sheetView>
  </sheetViews>
  <sheetFormatPr defaultColWidth="8.85546875" defaultRowHeight="12.75" x14ac:dyDescent="0.2"/>
  <cols>
    <col min="1" max="1" width="37.7109375" bestFit="1" customWidth="1"/>
  </cols>
  <sheetData>
    <row r="1" spans="1:16" ht="165.75" customHeight="1" x14ac:dyDescent="0.2">
      <c r="A1" s="5" t="s">
        <v>22</v>
      </c>
      <c r="B1" s="5"/>
      <c r="C1" s="5"/>
      <c r="D1" s="5"/>
      <c r="E1" s="5"/>
      <c r="F1" s="5"/>
      <c r="G1" s="5"/>
      <c r="H1" s="5"/>
      <c r="I1" s="5"/>
      <c r="J1" s="5"/>
      <c r="K1" s="5"/>
      <c r="L1" s="5"/>
      <c r="M1" s="5"/>
      <c r="N1" s="5"/>
      <c r="O1" s="5"/>
      <c r="P1" s="5"/>
    </row>
    <row r="2" spans="1:16" x14ac:dyDescent="0.2">
      <c r="A2" s="4"/>
    </row>
  </sheetData>
  <mergeCells count="1">
    <mergeCell ref="A1:P1"/>
  </mergeCells>
  <phoneticPr fontId="1" type="noConversion"/>
  <pageMargins left="0.75" right="0.75" top="1" bottom="1" header="0.5" footer="0.5"/>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26"/>
  <sheetViews>
    <sheetView zoomScale="130" workbookViewId="0">
      <selection activeCell="B6" sqref="B6"/>
    </sheetView>
  </sheetViews>
  <sheetFormatPr defaultColWidth="8.85546875" defaultRowHeight="12.75" x14ac:dyDescent="0.2"/>
  <cols>
    <col min="1" max="1" width="12.85546875" customWidth="1"/>
  </cols>
  <sheetData>
    <row r="1" spans="1:12" x14ac:dyDescent="0.2">
      <c r="A1" s="2" t="s">
        <v>0</v>
      </c>
      <c r="B1" s="2" t="s">
        <v>1</v>
      </c>
      <c r="C1" s="2" t="s">
        <v>2</v>
      </c>
      <c r="D1" s="2" t="s">
        <v>3</v>
      </c>
      <c r="E1" s="2" t="s">
        <v>4</v>
      </c>
      <c r="F1" s="2" t="s">
        <v>5</v>
      </c>
      <c r="G1" s="2" t="s">
        <v>6</v>
      </c>
      <c r="H1" s="2" t="s">
        <v>7</v>
      </c>
      <c r="I1" s="2" t="s">
        <v>8</v>
      </c>
      <c r="J1" s="2" t="s">
        <v>9</v>
      </c>
      <c r="K1" s="2" t="s">
        <v>10</v>
      </c>
      <c r="L1" s="2" t="s">
        <v>11</v>
      </c>
    </row>
    <row r="2" spans="1:12" x14ac:dyDescent="0.2">
      <c r="A2" s="1">
        <v>40969</v>
      </c>
      <c r="B2">
        <v>7.0000000000000007E-2</v>
      </c>
      <c r="C2">
        <v>0.08</v>
      </c>
      <c r="D2">
        <v>0.13</v>
      </c>
      <c r="E2">
        <v>0.18</v>
      </c>
      <c r="F2">
        <v>0.3</v>
      </c>
      <c r="G2">
        <v>0.43</v>
      </c>
      <c r="H2">
        <v>0.89</v>
      </c>
      <c r="I2">
        <v>1.44</v>
      </c>
      <c r="J2">
        <v>2.0299999999999998</v>
      </c>
      <c r="K2">
        <v>2.8</v>
      </c>
      <c r="L2">
        <v>3.15</v>
      </c>
    </row>
    <row r="3" spans="1:12" x14ac:dyDescent="0.2">
      <c r="A3" s="1">
        <v>40970</v>
      </c>
      <c r="B3">
        <v>0.06</v>
      </c>
      <c r="C3">
        <v>7.0000000000000007E-2</v>
      </c>
      <c r="D3">
        <v>0.12</v>
      </c>
      <c r="E3">
        <v>0.17</v>
      </c>
      <c r="F3">
        <v>0.28000000000000003</v>
      </c>
      <c r="G3">
        <v>0.41</v>
      </c>
      <c r="H3">
        <v>0.84</v>
      </c>
      <c r="I3">
        <v>1.38</v>
      </c>
      <c r="J3">
        <v>1.99</v>
      </c>
      <c r="K3">
        <v>2.77</v>
      </c>
      <c r="L3">
        <v>3.11</v>
      </c>
    </row>
    <row r="4" spans="1:12" x14ac:dyDescent="0.2">
      <c r="A4" s="1">
        <v>40973</v>
      </c>
      <c r="B4">
        <v>7.0000000000000007E-2</v>
      </c>
      <c r="C4">
        <v>0.08</v>
      </c>
      <c r="D4">
        <v>0.14000000000000001</v>
      </c>
      <c r="E4">
        <v>0.17</v>
      </c>
      <c r="F4">
        <v>0.31</v>
      </c>
      <c r="G4">
        <v>0.43</v>
      </c>
      <c r="H4">
        <v>0.87</v>
      </c>
      <c r="I4">
        <v>1.4</v>
      </c>
      <c r="J4">
        <v>2</v>
      </c>
      <c r="K4">
        <v>2.78</v>
      </c>
      <c r="L4">
        <v>3.13</v>
      </c>
    </row>
    <row r="5" spans="1:12" x14ac:dyDescent="0.2">
      <c r="A5" s="1">
        <v>40974</v>
      </c>
      <c r="B5">
        <v>0.06</v>
      </c>
      <c r="C5">
        <v>0.08</v>
      </c>
      <c r="D5">
        <v>0.13</v>
      </c>
      <c r="E5">
        <v>0.17</v>
      </c>
      <c r="F5">
        <v>0.3</v>
      </c>
      <c r="G5">
        <v>0.4</v>
      </c>
      <c r="H5">
        <v>0.83</v>
      </c>
      <c r="I5">
        <v>1.35</v>
      </c>
      <c r="J5">
        <v>1.96</v>
      </c>
      <c r="K5">
        <v>2.73</v>
      </c>
      <c r="L5">
        <v>3.08</v>
      </c>
    </row>
    <row r="6" spans="1:12" x14ac:dyDescent="0.2">
      <c r="A6" s="1">
        <v>40975</v>
      </c>
      <c r="B6">
        <v>0.06</v>
      </c>
      <c r="C6">
        <v>0.08</v>
      </c>
      <c r="D6">
        <v>0.14000000000000001</v>
      </c>
      <c r="E6">
        <v>0.18</v>
      </c>
      <c r="F6">
        <v>0.3</v>
      </c>
      <c r="G6">
        <v>0.42</v>
      </c>
      <c r="H6">
        <v>0.85</v>
      </c>
      <c r="I6">
        <v>1.37</v>
      </c>
      <c r="J6">
        <v>1.98</v>
      </c>
      <c r="K6">
        <v>2.76</v>
      </c>
      <c r="L6">
        <v>3.12</v>
      </c>
    </row>
    <row r="7" spans="1:12" x14ac:dyDescent="0.2">
      <c r="A7" s="1">
        <v>40976</v>
      </c>
      <c r="B7">
        <v>7.0000000000000007E-2</v>
      </c>
      <c r="C7">
        <v>0.08</v>
      </c>
      <c r="D7">
        <v>0.14000000000000001</v>
      </c>
      <c r="E7">
        <v>0.18</v>
      </c>
      <c r="F7">
        <v>0.32</v>
      </c>
      <c r="G7">
        <v>0.44</v>
      </c>
      <c r="H7">
        <v>0.89</v>
      </c>
      <c r="I7">
        <v>1.41</v>
      </c>
      <c r="J7">
        <v>2.0299999999999998</v>
      </c>
      <c r="K7">
        <v>2.82</v>
      </c>
      <c r="L7">
        <v>3.18</v>
      </c>
    </row>
    <row r="8" spans="1:12" x14ac:dyDescent="0.2">
      <c r="A8" s="1">
        <v>40977</v>
      </c>
      <c r="B8">
        <v>0.06</v>
      </c>
      <c r="C8">
        <v>0.09</v>
      </c>
      <c r="D8">
        <v>0.13</v>
      </c>
      <c r="E8">
        <v>0.18</v>
      </c>
      <c r="F8">
        <v>0.33</v>
      </c>
      <c r="G8">
        <v>0.46</v>
      </c>
      <c r="H8">
        <v>0.9</v>
      </c>
      <c r="I8">
        <v>1.43</v>
      </c>
      <c r="J8">
        <v>2.04</v>
      </c>
      <c r="K8">
        <v>2.83</v>
      </c>
      <c r="L8">
        <v>3.19</v>
      </c>
    </row>
    <row r="9" spans="1:12" x14ac:dyDescent="0.2">
      <c r="A9" s="1">
        <v>40980</v>
      </c>
      <c r="B9">
        <v>0.05</v>
      </c>
      <c r="C9">
        <v>0.09</v>
      </c>
      <c r="D9">
        <v>0.15</v>
      </c>
      <c r="E9">
        <v>0.18</v>
      </c>
      <c r="F9">
        <v>0.33</v>
      </c>
      <c r="G9">
        <v>0.47</v>
      </c>
      <c r="H9">
        <v>0.92</v>
      </c>
      <c r="I9">
        <v>1.43</v>
      </c>
      <c r="J9">
        <v>2.04</v>
      </c>
      <c r="K9">
        <v>2.82</v>
      </c>
      <c r="L9">
        <v>3.17</v>
      </c>
    </row>
    <row r="10" spans="1:12" x14ac:dyDescent="0.2">
      <c r="A10" s="1">
        <v>40981</v>
      </c>
      <c r="B10">
        <v>0.06</v>
      </c>
      <c r="C10">
        <v>0.08</v>
      </c>
      <c r="D10">
        <v>0.15</v>
      </c>
      <c r="E10">
        <v>0.2</v>
      </c>
      <c r="F10">
        <v>0.35</v>
      </c>
      <c r="G10">
        <v>0.51</v>
      </c>
      <c r="H10">
        <v>0.99</v>
      </c>
      <c r="I10">
        <v>1.52</v>
      </c>
      <c r="J10">
        <v>2.14</v>
      </c>
      <c r="K10">
        <v>2.92</v>
      </c>
      <c r="L10">
        <v>3.26</v>
      </c>
    </row>
    <row r="11" spans="1:12" x14ac:dyDescent="0.2">
      <c r="A11" s="1">
        <v>40982</v>
      </c>
      <c r="B11">
        <v>0.08</v>
      </c>
      <c r="C11">
        <v>0.09</v>
      </c>
      <c r="D11">
        <v>0.15</v>
      </c>
      <c r="E11">
        <v>0.21</v>
      </c>
      <c r="F11">
        <v>0.4</v>
      </c>
      <c r="G11">
        <v>0.6</v>
      </c>
      <c r="H11">
        <v>1.1299999999999999</v>
      </c>
      <c r="I11">
        <v>1.69</v>
      </c>
      <c r="J11">
        <v>2.29</v>
      </c>
      <c r="K11">
        <v>3.08</v>
      </c>
      <c r="L11">
        <v>3.43</v>
      </c>
    </row>
    <row r="12" spans="1:12" x14ac:dyDescent="0.2">
      <c r="A12" s="1">
        <v>40983</v>
      </c>
      <c r="B12">
        <v>0.08</v>
      </c>
      <c r="C12">
        <v>0.08</v>
      </c>
      <c r="D12">
        <v>0.15</v>
      </c>
      <c r="E12">
        <v>0.21</v>
      </c>
      <c r="F12">
        <v>0.37</v>
      </c>
      <c r="G12">
        <v>0.56000000000000005</v>
      </c>
      <c r="H12">
        <v>1.1100000000000001</v>
      </c>
      <c r="I12">
        <v>1.67</v>
      </c>
      <c r="J12">
        <v>2.29</v>
      </c>
      <c r="K12">
        <v>3.08</v>
      </c>
      <c r="L12">
        <v>3.41</v>
      </c>
    </row>
    <row r="26" spans="1:1" x14ac:dyDescent="0.2">
      <c r="A26" t="s">
        <v>12</v>
      </c>
    </row>
  </sheetData>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1025" r:id="rId3" name="btnInputYC">
          <controlPr defaultSize="0" autoLine="0" r:id="rId4">
            <anchor moveWithCells="1">
              <from>
                <xdr:col>12</xdr:col>
                <xdr:colOff>19050</xdr:colOff>
                <xdr:row>1</xdr:row>
                <xdr:rowOff>28575</xdr:rowOff>
              </from>
              <to>
                <xdr:col>13</xdr:col>
                <xdr:colOff>561975</xdr:colOff>
                <xdr:row>3</xdr:row>
                <xdr:rowOff>57150</xdr:rowOff>
              </to>
            </anchor>
          </controlPr>
        </control>
      </mc:Choice>
      <mc:Fallback>
        <control shapeId="1025" r:id="rId3" name="btnInputYC"/>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J25"/>
  <sheetViews>
    <sheetView workbookViewId="0">
      <selection activeCell="I13" sqref="I13"/>
    </sheetView>
  </sheetViews>
  <sheetFormatPr defaultColWidth="8.85546875" defaultRowHeight="12.75" x14ac:dyDescent="0.2"/>
  <cols>
    <col min="1" max="1" width="12.7109375" customWidth="1"/>
    <col min="2" max="2" width="12.7109375" bestFit="1" customWidth="1"/>
    <col min="3" max="3" width="10.28515625" bestFit="1" customWidth="1"/>
    <col min="4" max="4" width="10.42578125" bestFit="1" customWidth="1"/>
    <col min="5" max="5" width="19.85546875" customWidth="1"/>
    <col min="6" max="6" width="13.85546875" bestFit="1" customWidth="1"/>
    <col min="7" max="7" width="10.7109375" bestFit="1" customWidth="1"/>
    <col min="8" max="8" width="12.7109375" bestFit="1" customWidth="1"/>
    <col min="9" max="9" width="19.7109375" bestFit="1" customWidth="1"/>
    <col min="10" max="10" width="15" bestFit="1" customWidth="1"/>
  </cols>
  <sheetData>
    <row r="1" spans="1:10" x14ac:dyDescent="0.2">
      <c r="A1" s="2" t="s">
        <v>0</v>
      </c>
      <c r="B1" s="2" t="s">
        <v>13</v>
      </c>
      <c r="C1" s="2" t="s">
        <v>14</v>
      </c>
      <c r="D1" s="2" t="s">
        <v>15</v>
      </c>
      <c r="E1" s="2" t="s">
        <v>16</v>
      </c>
      <c r="F1" s="2" t="s">
        <v>19</v>
      </c>
      <c r="G1" s="2" t="s">
        <v>20</v>
      </c>
      <c r="H1" s="2" t="s">
        <v>18</v>
      </c>
      <c r="I1" s="2" t="s">
        <v>21</v>
      </c>
      <c r="J1" s="2" t="s">
        <v>17</v>
      </c>
    </row>
    <row r="2" spans="1:10" x14ac:dyDescent="0.2">
      <c r="A2" s="1">
        <v>40969</v>
      </c>
      <c r="B2" t="s">
        <v>23</v>
      </c>
      <c r="C2">
        <v>0.25</v>
      </c>
      <c r="D2" s="1">
        <v>41698</v>
      </c>
      <c r="E2" s="3">
        <v>3000000</v>
      </c>
      <c r="F2">
        <f>PRICE(A2,D2,C2,0.18,100,2)</f>
        <v>111.32289311099522</v>
      </c>
      <c r="G2">
        <f>COUPDAYBS(A2,D2,2)/COUPDAYS(A2,D2,2)*50*C2</f>
        <v>6.9444444444444448E-2</v>
      </c>
      <c r="H2">
        <f>F2+G2</f>
        <v>111.39233755543967</v>
      </c>
      <c r="I2">
        <f>MDURATION(A2,D2,C2,0.18,2)</f>
        <v>1.5641110382896781</v>
      </c>
      <c r="J2">
        <f>I2*H2*E2/10000</f>
        <v>52268.995425405912</v>
      </c>
    </row>
    <row r="3" spans="1:10" x14ac:dyDescent="0.2">
      <c r="A3" s="1">
        <v>40969</v>
      </c>
      <c r="B3" t="s">
        <v>24</v>
      </c>
      <c r="C3">
        <v>0.88</v>
      </c>
      <c r="D3" s="1">
        <v>42794</v>
      </c>
      <c r="E3" s="3">
        <v>1000000</v>
      </c>
      <c r="F3">
        <f>PRICE(A3,D3,C3,0.18,100,2)</f>
        <v>324.52902804521159</v>
      </c>
      <c r="G3">
        <f>COUPDAYBS(A3,D3,2)/COUPDAYS(A3,D3,2)*50*C3</f>
        <v>0.24444444444444446</v>
      </c>
      <c r="H3">
        <f>F3+G3</f>
        <v>324.77347248965606</v>
      </c>
      <c r="I3">
        <f>MDURATION(A3,D3,C3,0.18,2)</f>
        <v>2.5087868245028999</v>
      </c>
      <c r="J3">
        <f>I3*H3*E3/10000</f>
        <v>81478.740873010422</v>
      </c>
    </row>
    <row r="4" spans="1:10" x14ac:dyDescent="0.2">
      <c r="A4" s="1">
        <v>40969</v>
      </c>
      <c r="B4" t="s">
        <v>25</v>
      </c>
      <c r="C4">
        <v>2</v>
      </c>
      <c r="D4" s="1">
        <v>44620</v>
      </c>
      <c r="E4" s="3">
        <v>5000000</v>
      </c>
      <c r="F4">
        <f>PRICE(A4,D4,C4,0.18,100,2)</f>
        <v>930.58779245742483</v>
      </c>
      <c r="G4">
        <f>COUPDAYBS(A4,D4,2)/COUPDAYS(A4,D4,2)*50*C4</f>
        <v>0.55555555555555558</v>
      </c>
      <c r="H4">
        <f>F4+G4</f>
        <v>931.14334801298037</v>
      </c>
      <c r="I4">
        <f>MDURATION(A4,D4,C4,0.18,2)</f>
        <v>3.6680796567224516</v>
      </c>
      <c r="J4">
        <f>I4*H4*E4/10000</f>
        <v>1707753.9861694234</v>
      </c>
    </row>
    <row r="5" spans="1:10" x14ac:dyDescent="0.2">
      <c r="A5" s="1">
        <v>40969</v>
      </c>
      <c r="B5" t="s">
        <v>26</v>
      </c>
      <c r="C5">
        <v>3.13</v>
      </c>
      <c r="D5" s="1">
        <v>51925</v>
      </c>
      <c r="E5" s="3">
        <v>1000000</v>
      </c>
      <c r="F5">
        <f>PRICE(A5,D5,C5,0.18,100,2)</f>
        <v>1729.5374910226628</v>
      </c>
      <c r="G5">
        <f>COUPDAYBS(A5,D5,2)/COUPDAYS(A5,D5,2)*50*C5</f>
        <v>0.86944444444444446</v>
      </c>
      <c r="H5">
        <f>F5+G5</f>
        <v>1730.4069354671074</v>
      </c>
      <c r="I5">
        <f>MDURATION(A5,D5,C5,0.18,2)</f>
        <v>5.4030281765192063</v>
      </c>
      <c r="J5">
        <f>I5*H5*E5/10000</f>
        <v>934943.74291730323</v>
      </c>
    </row>
    <row r="6" spans="1:10" x14ac:dyDescent="0.2">
      <c r="A6" s="1">
        <v>40970</v>
      </c>
      <c r="B6" t="s">
        <v>23</v>
      </c>
      <c r="C6">
        <v>0.25</v>
      </c>
      <c r="D6" s="1">
        <v>41698</v>
      </c>
      <c r="E6" s="3">
        <v>3500000</v>
      </c>
      <c r="F6">
        <f>PRICE(A6,D6,C6,0.17,100,2)</f>
        <v>113.06606522629335</v>
      </c>
      <c r="G6">
        <f>COUPDAYBS(A6,D6,2)/COUPDAYS(A6,D6,2)*50*C6</f>
        <v>0.1388888888888889</v>
      </c>
      <c r="H6">
        <f>F6+G6</f>
        <v>113.20495411518223</v>
      </c>
      <c r="I6">
        <f>MDURATION(A6,D6,C6,0.17,2)</f>
        <v>1.5709753690014761</v>
      </c>
      <c r="J6">
        <f>I6*H6*E6/10000</f>
        <v>62244.768097362743</v>
      </c>
    </row>
    <row r="7" spans="1:10" x14ac:dyDescent="0.2">
      <c r="A7" s="1">
        <v>40970</v>
      </c>
      <c r="B7" t="s">
        <v>24</v>
      </c>
      <c r="C7">
        <v>0.88</v>
      </c>
      <c r="D7" s="1">
        <v>42794</v>
      </c>
      <c r="E7" s="3">
        <v>2000000</v>
      </c>
      <c r="F7">
        <f>PRICE(A7,D7,C7,0.17,100,2)</f>
        <v>332.74088455632597</v>
      </c>
      <c r="G7">
        <f>COUPDAYBS(A7,D7,2)/COUPDAYS(A7,D7,2)*50*C7</f>
        <v>0.48888888888888893</v>
      </c>
      <c r="H7">
        <f>F7+G7</f>
        <v>333.22977344521485</v>
      </c>
      <c r="I7">
        <f>MDURATION(A7,D7,C7,0.17,2)</f>
        <v>2.538946445476078</v>
      </c>
      <c r="J7">
        <f>I7*H7*E7/10000</f>
        <v>169210.50976310539</v>
      </c>
    </row>
    <row r="8" spans="1:10" x14ac:dyDescent="0.2">
      <c r="A8" s="1">
        <v>40970</v>
      </c>
      <c r="B8" t="s">
        <v>25</v>
      </c>
      <c r="C8">
        <v>2</v>
      </c>
      <c r="D8" s="1">
        <v>44620</v>
      </c>
      <c r="E8" s="3">
        <v>5000000</v>
      </c>
      <c r="F8">
        <f>PRICE(A8,D8,C8,0.17,100,2)</f>
        <v>965.66011570217859</v>
      </c>
      <c r="G8">
        <f>COUPDAYBS(A8,D8,2)/COUPDAYS(A8,D8,2)*50*C8</f>
        <v>1.1111111111111112</v>
      </c>
      <c r="H8">
        <f>F8+G8</f>
        <v>966.77122681328967</v>
      </c>
      <c r="I8">
        <f>MDURATION(A8,D8,C8,0.17,2)</f>
        <v>3.7487881174548874</v>
      </c>
      <c r="J8">
        <f>I8*H8*E8/10000</f>
        <v>1812110.2436874721</v>
      </c>
    </row>
    <row r="9" spans="1:10" x14ac:dyDescent="0.2">
      <c r="A9" s="1">
        <v>40970</v>
      </c>
      <c r="B9" t="s">
        <v>26</v>
      </c>
      <c r="C9">
        <v>3.13</v>
      </c>
      <c r="D9" s="1">
        <v>51925</v>
      </c>
      <c r="E9" s="3">
        <v>2000000</v>
      </c>
      <c r="F9">
        <f>PRICE(A9,D9,C9,0.17,100,2)</f>
        <v>1828.0620195672827</v>
      </c>
      <c r="G9">
        <f>COUPDAYBS(A9,D9,2)/COUPDAYS(A9,D9,2)*50*C9</f>
        <v>1.7388888888888889</v>
      </c>
      <c r="H9">
        <f>F9+G9</f>
        <v>1829.8009084561716</v>
      </c>
      <c r="I9">
        <f>MDURATION(A9,D9,C9,0.17,2)</f>
        <v>5.6776999053412869</v>
      </c>
      <c r="J9">
        <f>I9*H9*E9/10000</f>
        <v>2077812.0889470009</v>
      </c>
    </row>
    <row r="10" spans="1:10" x14ac:dyDescent="0.2">
      <c r="A10" s="1">
        <v>40973</v>
      </c>
      <c r="B10" t="s">
        <v>23</v>
      </c>
      <c r="C10">
        <v>0.25</v>
      </c>
      <c r="D10" s="1">
        <v>41698</v>
      </c>
      <c r="E10" s="3">
        <v>2500000</v>
      </c>
      <c r="F10">
        <f>PRICE(A10,D10,C10,0.17,100,2)</f>
        <v>113.01175755906638</v>
      </c>
      <c r="G10">
        <f>COUPDAYBS(A10,D10,2)/COUPDAYS(A10,D10,2)*50*C10</f>
        <v>0.34722222222222221</v>
      </c>
      <c r="H10">
        <f>F10+G10</f>
        <v>113.35897978128861</v>
      </c>
      <c r="I10">
        <f>MDURATION(A10,D10,C10,0.17,2)</f>
        <v>1.5632948774500168</v>
      </c>
      <c r="J10">
        <f>I10*H10*E10/10000</f>
        <v>44303.378101262126</v>
      </c>
    </row>
    <row r="11" spans="1:10" x14ac:dyDescent="0.2">
      <c r="A11" s="1">
        <v>40973</v>
      </c>
      <c r="B11" t="s">
        <v>24</v>
      </c>
      <c r="C11">
        <v>0.88</v>
      </c>
      <c r="D11" s="1">
        <v>42794</v>
      </c>
      <c r="E11" s="3">
        <v>2000000</v>
      </c>
      <c r="F11">
        <f>PRICE(A11,D11,C11,0.17,100,2)</f>
        <v>332.46094072544457</v>
      </c>
      <c r="G11">
        <f>COUPDAYBS(A11,D11,2)/COUPDAYS(A11,D11,2)*50*C11</f>
        <v>1.2222222222222221</v>
      </c>
      <c r="H11">
        <f>F11+G11</f>
        <v>333.6831629476668</v>
      </c>
      <c r="I11">
        <f>MDURATION(A11,D11,C11,0.17,2)</f>
        <v>2.5312659539246183</v>
      </c>
      <c r="J11">
        <f>I11*H11*E11/10000</f>
        <v>168928.16595346192</v>
      </c>
    </row>
    <row r="12" spans="1:10" x14ac:dyDescent="0.2">
      <c r="A12" s="1">
        <v>40973</v>
      </c>
      <c r="B12" t="s">
        <v>25</v>
      </c>
      <c r="C12">
        <v>2</v>
      </c>
      <c r="D12" s="1">
        <v>44620</v>
      </c>
      <c r="E12" s="3">
        <v>6000000</v>
      </c>
      <c r="F12">
        <f>PRICE(A12,D12,C12,0.17,100,2)</f>
        <v>965.30882947399448</v>
      </c>
      <c r="G12">
        <f>COUPDAYBS(A12,D12,2)/COUPDAYS(A12,D12,2)*50*C12</f>
        <v>2.7777777777777777</v>
      </c>
      <c r="H12">
        <f>F12+G12</f>
        <v>968.08660725177231</v>
      </c>
      <c r="I12">
        <f>MDURATION(A12,D12,C12,0.17,2)</f>
        <v>3.7411076259034273</v>
      </c>
      <c r="J12">
        <f>I12*H12*E12/10000</f>
        <v>2173029.7133547491</v>
      </c>
    </row>
    <row r="13" spans="1:10" x14ac:dyDescent="0.2">
      <c r="A13" s="1">
        <v>40973</v>
      </c>
      <c r="B13" t="s">
        <v>26</v>
      </c>
      <c r="C13">
        <v>3.13</v>
      </c>
      <c r="D13" s="1">
        <v>51925</v>
      </c>
      <c r="E13" s="3">
        <v>3000000</v>
      </c>
      <c r="F13">
        <f>PRICE(A13,D13,C13,0.17,100,2)</f>
        <v>1827.9432972758855</v>
      </c>
      <c r="G13">
        <f>COUPDAYBS(A13,D13,2)/COUPDAYS(A13,D13,2)*50*C13</f>
        <v>4.3472222222222223</v>
      </c>
      <c r="H13">
        <f>F13+G13</f>
        <v>1832.2905194981076</v>
      </c>
      <c r="I13">
        <f>MDURATION(A13,D13,C13,0.17,2)</f>
        <v>5.6700194137898334</v>
      </c>
      <c r="J13">
        <f>I13*H13*E13/10000</f>
        <v>3116736.8451771992</v>
      </c>
    </row>
    <row r="14" spans="1:10" x14ac:dyDescent="0.2">
      <c r="A14" s="1">
        <v>40974</v>
      </c>
      <c r="B14" t="s">
        <v>23</v>
      </c>
      <c r="C14">
        <v>0.25</v>
      </c>
      <c r="D14" s="1">
        <v>41698</v>
      </c>
      <c r="E14" s="3">
        <v>2000000</v>
      </c>
      <c r="F14">
        <f>PRICE(A14,D14,C14,0.17,100,2)</f>
        <v>112.99370155946653</v>
      </c>
      <c r="G14">
        <f>COUPDAYBS(A14,D14,2)/COUPDAYS(A14,D14,2)*50*C14</f>
        <v>0.41666666666666669</v>
      </c>
      <c r="H14">
        <f>F14+G14</f>
        <v>113.4103682261332</v>
      </c>
      <c r="I14">
        <f>MDURATION(A14,D14,C14,0.17,2)</f>
        <v>1.5607347135995304</v>
      </c>
      <c r="J14">
        <f>I14*H14*E14/10000</f>
        <v>35400.699714526258</v>
      </c>
    </row>
    <row r="15" spans="1:10" x14ac:dyDescent="0.2">
      <c r="A15" s="1">
        <v>40974</v>
      </c>
      <c r="B15" t="s">
        <v>24</v>
      </c>
      <c r="C15">
        <v>0.88</v>
      </c>
      <c r="D15" s="1">
        <v>42794</v>
      </c>
      <c r="E15" s="3">
        <v>2000000</v>
      </c>
      <c r="F15">
        <f>PRICE(A15,D15,C15,0.17,100,2)</f>
        <v>332.36776315767628</v>
      </c>
      <c r="G15">
        <f>COUPDAYBS(A15,D15,2)/COUPDAYS(A15,D15,2)*50*C15</f>
        <v>1.4666666666666668</v>
      </c>
      <c r="H15">
        <f>F15+G15</f>
        <v>333.83442982434292</v>
      </c>
      <c r="I15">
        <f>MDURATION(A15,D15,C15,0.17,2)</f>
        <v>2.5287057900741319</v>
      </c>
      <c r="J15">
        <f>I15*H15*E15/10000</f>
        <v>168833.81112458248</v>
      </c>
    </row>
    <row r="16" spans="1:10" x14ac:dyDescent="0.2">
      <c r="A16" s="1">
        <v>40974</v>
      </c>
      <c r="B16" t="s">
        <v>25</v>
      </c>
      <c r="C16">
        <v>2</v>
      </c>
      <c r="D16" s="1">
        <v>44620</v>
      </c>
      <c r="E16" s="3">
        <v>6000000</v>
      </c>
      <c r="F16">
        <f>PRICE(A16,D16,C16,0.17,100,2)</f>
        <v>965.19213165443398</v>
      </c>
      <c r="G16">
        <f>COUPDAYBS(A16,D16,2)/COUPDAYS(A16,D16,2)*50*C16</f>
        <v>3.3333333333333335</v>
      </c>
      <c r="H16">
        <f>F16+G16</f>
        <v>968.52546498776735</v>
      </c>
      <c r="I16">
        <f>MDURATION(A16,D16,C16,0.17,2)</f>
        <v>3.7385474620529409</v>
      </c>
      <c r="J16">
        <f>I16*H16*E16/10000</f>
        <v>2172527.0514381975</v>
      </c>
    </row>
    <row r="17" spans="1:10" x14ac:dyDescent="0.2">
      <c r="A17" s="1">
        <v>40974</v>
      </c>
      <c r="B17" t="s">
        <v>26</v>
      </c>
      <c r="C17">
        <v>3.13</v>
      </c>
      <c r="D17" s="1">
        <v>51925</v>
      </c>
      <c r="E17" s="3">
        <v>5000000</v>
      </c>
      <c r="F17">
        <f>PRICE(A17,D17,C17,0.17,100,2)</f>
        <v>1827.9044756941555</v>
      </c>
      <c r="G17">
        <f>COUPDAYBS(A17,D17,2)/COUPDAYS(A17,D17,2)*50*C17</f>
        <v>5.2166666666666668</v>
      </c>
      <c r="H17">
        <f>F17+G17</f>
        <v>1833.1211423608222</v>
      </c>
      <c r="I17">
        <f>MDURATION(A17,D17,C17,0.17,2)</f>
        <v>5.6674592499393475</v>
      </c>
      <c r="J17">
        <f>I17*H17*E17/10000</f>
        <v>5194569.6872661123</v>
      </c>
    </row>
    <row r="18" spans="1:10" x14ac:dyDescent="0.2">
      <c r="A18" s="1">
        <v>40975</v>
      </c>
      <c r="B18" t="s">
        <v>23</v>
      </c>
      <c r="C18">
        <v>0.25</v>
      </c>
      <c r="D18" s="1">
        <v>41698</v>
      </c>
      <c r="E18" s="3">
        <v>1000000</v>
      </c>
      <c r="F18">
        <f>PRICE(A18,D18,C18,0.18,100,2)</f>
        <v>111.2266709778179</v>
      </c>
      <c r="G18">
        <f>COUPDAYBS(A18,D18,2)/COUPDAYS(A18,D18,2)*50*C18</f>
        <v>0.4861111111111111</v>
      </c>
      <c r="H18">
        <f>F18+G18</f>
        <v>111.71278208892902</v>
      </c>
      <c r="I18">
        <f>MDURATION(A18,D18,C18,0.18,2)</f>
        <v>1.5488205184120023</v>
      </c>
      <c r="J18">
        <f>I18*H18*E18/10000</f>
        <v>17302.30490682221</v>
      </c>
    </row>
    <row r="19" spans="1:10" x14ac:dyDescent="0.2">
      <c r="A19" s="1">
        <v>40975</v>
      </c>
      <c r="B19" t="s">
        <v>24</v>
      </c>
      <c r="C19">
        <v>0.88</v>
      </c>
      <c r="D19" s="1">
        <v>42794</v>
      </c>
      <c r="E19" s="3">
        <v>2000000</v>
      </c>
      <c r="F19">
        <f>PRICE(A19,D19,C19,0.18,100,2)</f>
        <v>323.99664362960073</v>
      </c>
      <c r="G19">
        <f>COUPDAYBS(A19,D19,2)/COUPDAYS(A19,D19,2)*50*C19</f>
        <v>1.711111111111111</v>
      </c>
      <c r="H19">
        <f>F19+G19</f>
        <v>325.70775474071183</v>
      </c>
      <c r="I19">
        <f>MDURATION(A19,D19,C19,0.18,2)</f>
        <v>2.4934963046252241</v>
      </c>
      <c r="J19">
        <f>I19*H19*E19/10000</f>
        <v>162430.21656674877</v>
      </c>
    </row>
    <row r="20" spans="1:10" x14ac:dyDescent="0.2">
      <c r="A20" s="1">
        <v>40975</v>
      </c>
      <c r="B20" t="s">
        <v>25</v>
      </c>
      <c r="C20">
        <v>2</v>
      </c>
      <c r="D20" s="1">
        <v>44620</v>
      </c>
      <c r="E20" s="3">
        <v>6500000</v>
      </c>
      <c r="F20">
        <f>PRICE(A20,D20,C20,0.18,100,2)</f>
        <v>929.9330975503409</v>
      </c>
      <c r="G20">
        <f>COUPDAYBS(A20,D20,2)/COUPDAYS(A20,D20,2)*50*C20</f>
        <v>3.8888888888888888</v>
      </c>
      <c r="H20">
        <f>F20+G20</f>
        <v>933.82198643922982</v>
      </c>
      <c r="I20">
        <f>MDURATION(A20,D20,C20,0.18,2)</f>
        <v>3.6527891368447758</v>
      </c>
      <c r="J20">
        <f>I20*H20*E20/10000</f>
        <v>2217185.6250778185</v>
      </c>
    </row>
    <row r="21" spans="1:10" x14ac:dyDescent="0.2">
      <c r="A21" s="1">
        <v>40975</v>
      </c>
      <c r="B21" t="s">
        <v>26</v>
      </c>
      <c r="C21">
        <v>3.13</v>
      </c>
      <c r="D21" s="1">
        <v>51925</v>
      </c>
      <c r="E21" s="3">
        <v>6000000</v>
      </c>
      <c r="F21">
        <f>PRICE(A21,D21,C21,0.18,100,2)</f>
        <v>1729.2987201013525</v>
      </c>
      <c r="G21">
        <f>COUPDAYBS(A21,D21,2)/COUPDAYS(A21,D21,2)*50*C21</f>
        <v>6.0861111111111112</v>
      </c>
      <c r="H21">
        <f>F21+G21</f>
        <v>1735.3848312124637</v>
      </c>
      <c r="I21">
        <f>MDURATION(A21,D21,C21,0.18,2)</f>
        <v>5.3877376566415336</v>
      </c>
      <c r="J21">
        <f>I21*H21*E21/10000</f>
        <v>5609878.9223327404</v>
      </c>
    </row>
    <row r="22" spans="1:10" x14ac:dyDescent="0.2">
      <c r="A22" s="1">
        <v>40976</v>
      </c>
      <c r="B22" t="s">
        <v>23</v>
      </c>
      <c r="C22">
        <v>0.25</v>
      </c>
      <c r="D22" s="1">
        <v>41698</v>
      </c>
      <c r="E22" s="3">
        <v>0</v>
      </c>
      <c r="F22">
        <f>PRICE(A22,D22,C22,0.18,100,2)</f>
        <v>111.21072350637408</v>
      </c>
      <c r="G22">
        <f>COUPDAYBS(A22,D22,2)/COUPDAYS(A22,D22,2)*50*C22</f>
        <v>0.55555555555555558</v>
      </c>
      <c r="H22">
        <f>F22+G22</f>
        <v>111.76627906192964</v>
      </c>
      <c r="I22">
        <f>MDURATION(A22,D22,C22,0.18,2)</f>
        <v>1.5462720984323892</v>
      </c>
      <c r="J22">
        <f>I22*H22*E22/10000</f>
        <v>0</v>
      </c>
    </row>
    <row r="23" spans="1:10" x14ac:dyDescent="0.2">
      <c r="A23" s="1">
        <v>40976</v>
      </c>
      <c r="B23" t="s">
        <v>24</v>
      </c>
      <c r="C23">
        <v>0.88</v>
      </c>
      <c r="D23" s="1">
        <v>42794</v>
      </c>
      <c r="E23" s="3">
        <v>2000000</v>
      </c>
      <c r="F23">
        <f>PRICE(A23,D23,C23,0.18,100,2)</f>
        <v>323.90817398620987</v>
      </c>
      <c r="G23">
        <f>COUPDAYBS(A23,D23,2)/COUPDAYS(A23,D23,2)*50*C23</f>
        <v>1.9555555555555557</v>
      </c>
      <c r="H23">
        <f>F23+G23</f>
        <v>325.86372954176545</v>
      </c>
      <c r="I23">
        <f>MDURATION(A23,D23,C23,0.18,2)</f>
        <v>2.4909478846456108</v>
      </c>
      <c r="J23">
        <f>I23*H23*E23/10000</f>
        <v>162341.91355695802</v>
      </c>
    </row>
    <row r="24" spans="1:10" x14ac:dyDescent="0.2">
      <c r="A24" s="1">
        <v>40976</v>
      </c>
      <c r="B24" t="s">
        <v>25</v>
      </c>
      <c r="C24">
        <v>2</v>
      </c>
      <c r="D24" s="1">
        <v>44620</v>
      </c>
      <c r="E24" s="3">
        <v>8000000</v>
      </c>
      <c r="F24">
        <f>PRICE(A24,D24,C24,0.18,100,2)</f>
        <v>929.82473029912944</v>
      </c>
      <c r="G24">
        <f>COUPDAYBS(A24,D24,2)/COUPDAYS(A24,D24,2)*50*C24</f>
        <v>4.4444444444444446</v>
      </c>
      <c r="H24">
        <f>F24+G24</f>
        <v>934.2691747435739</v>
      </c>
      <c r="I24">
        <f>MDURATION(A24,D24,C24,0.18,2)</f>
        <v>3.6502407168651638</v>
      </c>
      <c r="J24">
        <f>I24*H24*E24/10000</f>
        <v>2728245.9057288067</v>
      </c>
    </row>
    <row r="25" spans="1:10" x14ac:dyDescent="0.2">
      <c r="A25" s="1">
        <v>40976</v>
      </c>
      <c r="B25" t="s">
        <v>26</v>
      </c>
      <c r="C25">
        <v>3.13</v>
      </c>
      <c r="D25" s="1">
        <v>51925</v>
      </c>
      <c r="E25" s="3">
        <v>10000000</v>
      </c>
      <c r="F25">
        <f>PRICE(A25,D25,C25,0.18,100,2)</f>
        <v>1729.2603160600297</v>
      </c>
      <c r="G25">
        <f>COUPDAYBS(A25,D25,2)/COUPDAYS(A25,D25,2)*50*C25</f>
        <v>6.9555555555555557</v>
      </c>
      <c r="H25">
        <f>F25+G25</f>
        <v>1736.2158716155852</v>
      </c>
      <c r="I25">
        <f>MDURATION(A25,D25,C25,0.18,2)</f>
        <v>5.3851892366619216</v>
      </c>
      <c r="J25">
        <f>I25*H25*E25/10000</f>
        <v>9349851.0243458468</v>
      </c>
    </row>
  </sheetData>
  <autoFilter ref="A1:J25" xr:uid="{00000000-0009-0000-0000-000002000000}"/>
  <phoneticPr fontId="1" type="noConversion"/>
  <pageMargins left="0.75" right="0.75" top="1" bottom="1" header="0.5" footer="0.5"/>
  <headerFooter alignWithMargins="0"/>
  <drawing r:id="rId1"/>
  <legacyDrawing r:id="rId2"/>
  <controls>
    <mc:AlternateContent xmlns:mc="http://schemas.openxmlformats.org/markup-compatibility/2006">
      <mc:Choice Requires="x14">
        <control shapeId="2059" r:id="rId3" name="btnInputPostion">
          <controlPr defaultSize="0" autoLine="0" r:id="rId4">
            <anchor moveWithCells="1">
              <from>
                <xdr:col>10</xdr:col>
                <xdr:colOff>19050</xdr:colOff>
                <xdr:row>0</xdr:row>
                <xdr:rowOff>28575</xdr:rowOff>
              </from>
              <to>
                <xdr:col>11</xdr:col>
                <xdr:colOff>561975</xdr:colOff>
                <xdr:row>2</xdr:row>
                <xdr:rowOff>57150</xdr:rowOff>
              </to>
            </anchor>
          </controlPr>
        </control>
      </mc:Choice>
      <mc:Fallback>
        <control shapeId="2059" r:id="rId3" name="btnInputPostion"/>
      </mc:Fallback>
    </mc:AlternateContent>
    <mc:AlternateContent xmlns:mc="http://schemas.openxmlformats.org/markup-compatibility/2006">
      <mc:Choice Requires="x14">
        <control shapeId="2060" r:id="rId5" name="btnCalPosBPV">
          <controlPr defaultSize="0" autoLine="0" r:id="rId6">
            <anchor moveWithCells="1">
              <from>
                <xdr:col>10</xdr:col>
                <xdr:colOff>38100</xdr:colOff>
                <xdr:row>5</xdr:row>
                <xdr:rowOff>28575</xdr:rowOff>
              </from>
              <to>
                <xdr:col>11</xdr:col>
                <xdr:colOff>581025</xdr:colOff>
                <xdr:row>7</xdr:row>
                <xdr:rowOff>57150</xdr:rowOff>
              </to>
            </anchor>
          </controlPr>
        </control>
      </mc:Choice>
      <mc:Fallback>
        <control shapeId="2060" r:id="rId5" name="btnCalPosBPV"/>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tabSelected="1" topLeftCell="A10" workbookViewId="0">
      <selection activeCell="A21" sqref="A21:A22"/>
    </sheetView>
  </sheetViews>
  <sheetFormatPr defaultColWidth="8.85546875" defaultRowHeight="12.75" x14ac:dyDescent="0.2"/>
  <sheetData/>
  <phoneticPr fontId="1"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Requirment</vt:lpstr>
      <vt:lpstr>Yield.Curve</vt:lpstr>
      <vt:lpstr>Bond.Position</vt:lpstr>
      <vt:lpstr>Position.BPV.Curve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 Huang</dc:creator>
  <cp:lastModifiedBy>帆</cp:lastModifiedBy>
  <dcterms:created xsi:type="dcterms:W3CDTF">2012-03-16T02:43:33Z</dcterms:created>
  <dcterms:modified xsi:type="dcterms:W3CDTF">2020-04-16T17:00:38Z</dcterms:modified>
</cp:coreProperties>
</file>